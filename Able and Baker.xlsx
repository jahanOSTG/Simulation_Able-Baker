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2B0oNriKHYZeyzZ4dAgcjxmhGHlHM/PU4TcTE+clL8o="/>
    </ext>
  </extLst>
</workbook>
</file>

<file path=xl/sharedStrings.xml><?xml version="1.0" encoding="utf-8"?>
<sst xmlns="http://schemas.openxmlformats.org/spreadsheetml/2006/main" count="42" uniqueCount="24">
  <si>
    <t>Distribution Table for IAT</t>
  </si>
  <si>
    <t xml:space="preserve"> Service Time(Able)</t>
  </si>
  <si>
    <t xml:space="preserve"> Service Time (Baker)</t>
  </si>
  <si>
    <t>TBA</t>
  </si>
  <si>
    <t>Prob.</t>
  </si>
  <si>
    <t>Cp</t>
  </si>
  <si>
    <t xml:space="preserve"> Lower</t>
  </si>
  <si>
    <t>Upper</t>
  </si>
  <si>
    <t>ST</t>
  </si>
  <si>
    <t>Prob</t>
  </si>
  <si>
    <t>CP</t>
  </si>
  <si>
    <t>Lower</t>
  </si>
  <si>
    <t>Simulation Table (Able, Baker)</t>
  </si>
  <si>
    <t>ABLE</t>
  </si>
  <si>
    <t>BAKER</t>
  </si>
  <si>
    <t>Customer ID</t>
  </si>
  <si>
    <t>Random  Digit for AT</t>
  </si>
  <si>
    <t>AT</t>
  </si>
  <si>
    <t>Random Digit for ST</t>
  </si>
  <si>
    <t>TSB</t>
  </si>
  <si>
    <t>TSE</t>
  </si>
  <si>
    <t>WT</t>
  </si>
  <si>
    <t>TSS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</si>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</sst>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Times New Roman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color rgb="FFFFFFFF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C1130"/>
      </left>
      <right style="thin">
        <color rgb="FF4C1130"/>
      </right>
      <top style="thin">
        <color rgb="FF4C1130"/>
      </top>
      <bottom style="thin">
        <color rgb="FF4C113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1" fillId="0" fontId="5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0" fontId="4" numFmtId="0" xfId="0" applyBorder="1" applyFont="1"/>
    <xf borderId="2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 readingOrder="0"/>
    </xf>
    <xf borderId="2" fillId="2" fontId="6" numFmtId="0" xfId="0" applyAlignment="1" applyBorder="1" applyFill="1" applyFont="1">
      <alignment horizontal="center" readingOrder="0"/>
    </xf>
    <xf borderId="2" fillId="3" fontId="6" numFmtId="0" xfId="0" applyAlignment="1" applyBorder="1" applyFill="1" applyFont="1">
      <alignment horizontal="center" readingOrder="0"/>
    </xf>
    <xf borderId="2" fillId="3" fontId="6" numFmtId="0" xfId="0" applyAlignment="1" applyBorder="1" applyFont="1">
      <alignment horizontal="center"/>
    </xf>
    <xf borderId="2" fillId="2" fontId="6" numFmtId="0" xfId="0" applyAlignment="1" applyBorder="1" applyFont="1">
      <alignment horizontal="center"/>
    </xf>
    <xf borderId="0" fillId="0" fontId="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5DFEC"/>
          <bgColor rgb="FFE5DFEC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CCC0D9"/>
          <bgColor rgb="FFCCC0D9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1" type="secondRowStripe"/>
    </tableStyle>
    <tableStyle count="3" pivot="0" name="Sheet1-style 2">
      <tableStyleElement dxfId="3" type="headerRow"/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E10" displayName="Table_1" name="Table_1" id="1">
  <tableColumns count="5">
    <tableColumn name="TBA" id="1"/>
    <tableColumn name="Prob." id="2"/>
    <tableColumn name="Cp" id="3"/>
    <tableColumn name=" Lower" id="4"/>
    <tableColumn name="Upper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H6:L10" displayName="Table_2" name="Table_2" id="2">
  <tableColumns count="5">
    <tableColumn name="ST" id="1"/>
    <tableColumn name="Prob" id="2"/>
    <tableColumn name="CP" id="3"/>
    <tableColumn name="Lower" id="4"/>
    <tableColumn name="Upper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3" width="8.71"/>
    <col customWidth="1" min="4" max="4" width="12.43"/>
    <col customWidth="1" min="5" max="5" width="18.86"/>
    <col customWidth="1" min="6" max="7" width="8.71"/>
    <col customWidth="1" min="8" max="8" width="20.14"/>
    <col customWidth="1" min="9" max="9" width="8.71"/>
    <col customWidth="1" min="10" max="10" width="7.43"/>
    <col customWidth="1" min="11" max="15" width="8.71"/>
    <col customWidth="1" min="16" max="16" width="13.86"/>
    <col customWidth="1" min="17" max="26" width="8.71"/>
  </cols>
  <sheetData>
    <row r="1">
      <c r="A1" s="1"/>
    </row>
    <row r="4">
      <c r="B4" s="2" t="s">
        <v>0</v>
      </c>
      <c r="I4" s="2" t="s">
        <v>0</v>
      </c>
      <c r="J4" s="2"/>
      <c r="K4" s="2" t="s">
        <v>1</v>
      </c>
      <c r="L4" s="2"/>
      <c r="O4" s="2" t="s">
        <v>0</v>
      </c>
      <c r="Q4" s="2" t="s">
        <v>2</v>
      </c>
    </row>
    <row r="6" ht="15.75" customHeight="1">
      <c r="A6" s="3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5"/>
      <c r="H6" s="6" t="s">
        <v>8</v>
      </c>
      <c r="I6" s="6" t="s">
        <v>9</v>
      </c>
      <c r="J6" s="6" t="s">
        <v>10</v>
      </c>
      <c r="K6" s="6" t="s">
        <v>11</v>
      </c>
      <c r="L6" s="6" t="s">
        <v>7</v>
      </c>
      <c r="O6" s="7" t="s">
        <v>8</v>
      </c>
      <c r="P6" s="7" t="s">
        <v>9</v>
      </c>
      <c r="Q6" s="7" t="s">
        <v>5</v>
      </c>
      <c r="R6" s="8" t="s">
        <v>11</v>
      </c>
      <c r="S6" s="8" t="s">
        <v>7</v>
      </c>
    </row>
    <row r="7">
      <c r="A7" s="4">
        <v>1.0</v>
      </c>
      <c r="B7" s="4">
        <v>0.25</v>
      </c>
      <c r="C7" s="4">
        <v>0.25</v>
      </c>
      <c r="D7" s="4">
        <v>0.0</v>
      </c>
      <c r="E7" s="4">
        <f t="shared" ref="E7:E10" si="1">C7*100</f>
        <v>25</v>
      </c>
      <c r="F7" s="5"/>
      <c r="H7" s="9">
        <v>2.0</v>
      </c>
      <c r="I7" s="9">
        <v>0.3</v>
      </c>
      <c r="J7" s="9">
        <v>0.3</v>
      </c>
      <c r="K7" s="9">
        <v>0.0</v>
      </c>
      <c r="L7" s="9">
        <f t="shared" ref="L7:L10" si="2">J7*100</f>
        <v>30</v>
      </c>
      <c r="O7" s="8">
        <v>3.0</v>
      </c>
      <c r="P7" s="8">
        <v>0.35</v>
      </c>
      <c r="Q7" s="8">
        <v>0.35</v>
      </c>
      <c r="R7" s="8">
        <v>0.0</v>
      </c>
      <c r="S7" s="7">
        <f t="shared" ref="S7:S10" si="3">Q7*100</f>
        <v>35</v>
      </c>
    </row>
    <row r="8">
      <c r="A8" s="4">
        <v>2.0</v>
      </c>
      <c r="B8" s="4">
        <v>0.4</v>
      </c>
      <c r="C8" s="4">
        <f t="shared" ref="C8:C10" si="4">SUM(B8,C7)</f>
        <v>0.65</v>
      </c>
      <c r="D8" s="4">
        <f t="shared" ref="D8:D10" si="5">C7*100+1</f>
        <v>26</v>
      </c>
      <c r="E8" s="4">
        <f t="shared" si="1"/>
        <v>65</v>
      </c>
      <c r="F8" s="5"/>
      <c r="H8" s="9">
        <v>3.0</v>
      </c>
      <c r="I8" s="9">
        <v>0.28</v>
      </c>
      <c r="J8" s="9">
        <f t="shared" ref="J8:J10" si="6">SUM(J7,I8)</f>
        <v>0.58</v>
      </c>
      <c r="K8" s="9">
        <f t="shared" ref="K8:K10" si="7">J7*100+1</f>
        <v>31</v>
      </c>
      <c r="L8" s="9">
        <f t="shared" si="2"/>
        <v>58</v>
      </c>
      <c r="O8" s="8">
        <v>4.0</v>
      </c>
      <c r="P8" s="8">
        <v>0.25</v>
      </c>
      <c r="Q8" s="7">
        <f t="shared" ref="Q8:Q10" si="8">SUM(Q7,P8)</f>
        <v>0.6</v>
      </c>
      <c r="R8" s="7">
        <f t="shared" ref="R8:R10" si="9">Q7*100+1</f>
        <v>36</v>
      </c>
      <c r="S8" s="7">
        <f t="shared" si="3"/>
        <v>60</v>
      </c>
    </row>
    <row r="9">
      <c r="A9" s="4">
        <v>3.0</v>
      </c>
      <c r="B9" s="4">
        <v>0.2</v>
      </c>
      <c r="C9" s="4">
        <f t="shared" si="4"/>
        <v>0.85</v>
      </c>
      <c r="D9" s="4">
        <f t="shared" si="5"/>
        <v>66</v>
      </c>
      <c r="E9" s="4">
        <f t="shared" si="1"/>
        <v>85</v>
      </c>
      <c r="F9" s="5"/>
      <c r="H9" s="9">
        <v>4.0</v>
      </c>
      <c r="I9" s="9">
        <v>0.25</v>
      </c>
      <c r="J9" s="9">
        <f t="shared" si="6"/>
        <v>0.83</v>
      </c>
      <c r="K9" s="9">
        <f t="shared" si="7"/>
        <v>59</v>
      </c>
      <c r="L9" s="9">
        <f t="shared" si="2"/>
        <v>83</v>
      </c>
      <c r="O9" s="8">
        <v>5.0</v>
      </c>
      <c r="P9" s="8">
        <v>0.2</v>
      </c>
      <c r="Q9" s="7">
        <f t="shared" si="8"/>
        <v>0.8</v>
      </c>
      <c r="R9" s="7">
        <f t="shared" si="9"/>
        <v>61</v>
      </c>
      <c r="S9" s="7">
        <f t="shared" si="3"/>
        <v>80</v>
      </c>
    </row>
    <row r="10">
      <c r="A10" s="4">
        <v>4.0</v>
      </c>
      <c r="B10" s="4">
        <v>0.15</v>
      </c>
      <c r="C10" s="4">
        <f t="shared" si="4"/>
        <v>1</v>
      </c>
      <c r="D10" s="4">
        <f t="shared" si="5"/>
        <v>86</v>
      </c>
      <c r="E10" s="4">
        <f t="shared" si="1"/>
        <v>100</v>
      </c>
      <c r="F10" s="5"/>
      <c r="H10" s="9">
        <v>5.0</v>
      </c>
      <c r="I10" s="9">
        <v>0.17</v>
      </c>
      <c r="J10" s="9">
        <f t="shared" si="6"/>
        <v>1</v>
      </c>
      <c r="K10" s="9">
        <f t="shared" si="7"/>
        <v>84</v>
      </c>
      <c r="L10" s="9">
        <f t="shared" si="2"/>
        <v>100</v>
      </c>
      <c r="O10" s="8">
        <v>6.0</v>
      </c>
      <c r="P10" s="8">
        <v>0.2</v>
      </c>
      <c r="Q10" s="7">
        <f t="shared" si="8"/>
        <v>1</v>
      </c>
      <c r="R10" s="7">
        <f t="shared" si="9"/>
        <v>81</v>
      </c>
      <c r="S10" s="7">
        <f t="shared" si="3"/>
        <v>100</v>
      </c>
    </row>
    <row r="13" ht="30.75" customHeight="1">
      <c r="D13" s="10"/>
      <c r="E13" s="10"/>
      <c r="F13" s="10"/>
      <c r="G13" s="10"/>
      <c r="H13" s="11" t="s">
        <v>12</v>
      </c>
      <c r="I13" s="10"/>
      <c r="J13" s="10"/>
      <c r="K13" s="10"/>
      <c r="L13" s="10"/>
      <c r="M13" s="10"/>
      <c r="N13" s="10"/>
      <c r="O13" s="10"/>
      <c r="P13" s="10"/>
    </row>
    <row r="14" ht="42.75" customHeight="1">
      <c r="D14" s="10"/>
      <c r="E14" s="10"/>
      <c r="F14" s="10"/>
      <c r="G14" s="10"/>
      <c r="H14" s="10"/>
      <c r="I14" s="12" t="s">
        <v>13</v>
      </c>
      <c r="J14" s="12" t="s">
        <v>13</v>
      </c>
      <c r="K14" s="12" t="s">
        <v>13</v>
      </c>
      <c r="L14" s="13" t="s">
        <v>14</v>
      </c>
      <c r="M14" s="13" t="s">
        <v>14</v>
      </c>
      <c r="N14" s="13" t="s">
        <v>14</v>
      </c>
      <c r="O14" s="10"/>
      <c r="P14" s="10"/>
    </row>
    <row r="15" ht="45.75" customHeight="1">
      <c r="D15" s="11" t="s">
        <v>15</v>
      </c>
      <c r="E15" s="11" t="s">
        <v>16</v>
      </c>
      <c r="F15" s="11" t="s">
        <v>3</v>
      </c>
      <c r="G15" s="11" t="s">
        <v>17</v>
      </c>
      <c r="H15" s="11" t="s">
        <v>18</v>
      </c>
      <c r="I15" s="12" t="s">
        <v>19</v>
      </c>
      <c r="J15" s="12" t="s">
        <v>8</v>
      </c>
      <c r="K15" s="12" t="s">
        <v>20</v>
      </c>
      <c r="L15" s="13" t="s">
        <v>19</v>
      </c>
      <c r="M15" s="13" t="s">
        <v>8</v>
      </c>
      <c r="N15" s="13" t="s">
        <v>20</v>
      </c>
      <c r="O15" s="11" t="s">
        <v>21</v>
      </c>
      <c r="P15" s="11" t="s">
        <v>22</v>
      </c>
    </row>
    <row r="16">
      <c r="D16" s="11">
        <v>1.0</v>
      </c>
      <c r="E16" s="11" t="s">
        <v>23</v>
      </c>
      <c r="F16" s="11" t="s">
        <v>23</v>
      </c>
      <c r="G16" s="11">
        <v>0.0</v>
      </c>
      <c r="H16" s="11">
        <v>95.0</v>
      </c>
      <c r="I16" s="12">
        <v>0.0</v>
      </c>
      <c r="J16" s="12">
        <f>IF(H16&lt;30, 2, IF(H16&lt;58, 3, IF(H16&lt;83, 4, IF(H16&lt;101, 5, 0))))</f>
        <v>5</v>
      </c>
      <c r="K16" s="12">
        <f t="shared" ref="K16:K20" si="10">I16+J16</f>
        <v>5</v>
      </c>
      <c r="L16" s="13">
        <v>0.0</v>
      </c>
      <c r="M16" s="14">
        <f t="shared" ref="M16:M21" si="11">IF(L16=0, 0, IF(H16&lt;36, 3, IF(H16&lt;61, 4, IF(H16&lt;81, 5, IF(H16&lt;101, 6, 0)))))</f>
        <v>0</v>
      </c>
      <c r="N16" s="14">
        <f t="shared" ref="N16:N21" si="12">L16+M16</f>
        <v>0</v>
      </c>
      <c r="O16" s="11">
        <f t="shared" ref="O16:O21" si="13">MAX(0, MAX(I17, L17) - E17)</f>
        <v>0</v>
      </c>
      <c r="P16" s="10">
        <f t="shared" ref="P16:P21" si="14">MAX(J16,M16)+O16</f>
        <v>5</v>
      </c>
    </row>
    <row r="17">
      <c r="D17" s="11">
        <v>2.0</v>
      </c>
      <c r="E17" s="11">
        <v>26.0</v>
      </c>
      <c r="F17" s="11">
        <f t="shared" ref="F17:F21" si="15">IF(E17&lt;25,1,IF(E17&lt;65,2,IF(E17&lt;85,3,IF(E17&lt;101,4))))</f>
        <v>2</v>
      </c>
      <c r="G17" s="10">
        <f t="shared" ref="G17:G21" si="16">SUM(G16,F17)</f>
        <v>2</v>
      </c>
      <c r="H17" s="11">
        <v>21.0</v>
      </c>
      <c r="I17" s="15">
        <f t="shared" ref="I17:I22" si="17">IF(G17&gt;=K16, G17, IF(K16&lt;=N16, K16, 0))</f>
        <v>0</v>
      </c>
      <c r="J17" s="12">
        <f t="shared" ref="J17:J21" si="18">IF(I17&gt;0, IF(H17&lt;31, 2, IF(H17&lt;59, 3, IF(H17&lt;84, 4, IF(H17&lt;101, 5, 0)))), 0)</f>
        <v>0</v>
      </c>
      <c r="K17" s="12">
        <f t="shared" si="10"/>
        <v>0</v>
      </c>
      <c r="L17" s="14">
        <f t="shared" ref="L17:L21" si="19">IF(I17=0, MAX(G17, N16), 0)</f>
        <v>2</v>
      </c>
      <c r="M17" s="14">
        <f t="shared" si="11"/>
        <v>3</v>
      </c>
      <c r="N17" s="14">
        <f t="shared" si="12"/>
        <v>5</v>
      </c>
      <c r="O17" s="11">
        <f t="shared" si="13"/>
        <v>0</v>
      </c>
      <c r="P17" s="10">
        <f t="shared" si="14"/>
        <v>3</v>
      </c>
    </row>
    <row r="18">
      <c r="D18" s="11">
        <v>3.0</v>
      </c>
      <c r="E18" s="11">
        <v>98.0</v>
      </c>
      <c r="F18" s="11">
        <f t="shared" si="15"/>
        <v>4</v>
      </c>
      <c r="G18" s="10">
        <f t="shared" si="16"/>
        <v>6</v>
      </c>
      <c r="H18" s="11">
        <v>51.0</v>
      </c>
      <c r="I18" s="15">
        <f t="shared" si="17"/>
        <v>6</v>
      </c>
      <c r="J18" s="12">
        <f t="shared" si="18"/>
        <v>3</v>
      </c>
      <c r="K18" s="12">
        <f t="shared" si="10"/>
        <v>9</v>
      </c>
      <c r="L18" s="14">
        <f t="shared" si="19"/>
        <v>0</v>
      </c>
      <c r="M18" s="14">
        <f t="shared" si="11"/>
        <v>0</v>
      </c>
      <c r="N18" s="14">
        <f t="shared" si="12"/>
        <v>0</v>
      </c>
      <c r="O18" s="11">
        <f t="shared" si="13"/>
        <v>0</v>
      </c>
      <c r="P18" s="10">
        <f t="shared" si="14"/>
        <v>3</v>
      </c>
    </row>
    <row r="19">
      <c r="D19" s="11">
        <v>4.0</v>
      </c>
      <c r="E19" s="11">
        <v>90.0</v>
      </c>
      <c r="F19" s="11">
        <f t="shared" si="15"/>
        <v>4</v>
      </c>
      <c r="G19" s="10">
        <f t="shared" si="16"/>
        <v>10</v>
      </c>
      <c r="H19" s="11">
        <v>92.0</v>
      </c>
      <c r="I19" s="15">
        <f t="shared" si="17"/>
        <v>10</v>
      </c>
      <c r="J19" s="12">
        <f t="shared" si="18"/>
        <v>5</v>
      </c>
      <c r="K19" s="12">
        <f t="shared" si="10"/>
        <v>15</v>
      </c>
      <c r="L19" s="14">
        <f t="shared" si="19"/>
        <v>0</v>
      </c>
      <c r="M19" s="14">
        <f t="shared" si="11"/>
        <v>0</v>
      </c>
      <c r="N19" s="14">
        <f t="shared" si="12"/>
        <v>0</v>
      </c>
      <c r="O19" s="11">
        <f t="shared" si="13"/>
        <v>0</v>
      </c>
      <c r="P19" s="10">
        <f t="shared" si="14"/>
        <v>5</v>
      </c>
    </row>
    <row r="20">
      <c r="D20" s="11">
        <v>5.0</v>
      </c>
      <c r="E20" s="11">
        <v>26.0</v>
      </c>
      <c r="F20" s="11">
        <f t="shared" si="15"/>
        <v>2</v>
      </c>
      <c r="G20" s="10">
        <f t="shared" si="16"/>
        <v>12</v>
      </c>
      <c r="H20" s="11">
        <v>89.0</v>
      </c>
      <c r="I20" s="15">
        <f t="shared" si="17"/>
        <v>0</v>
      </c>
      <c r="J20" s="12">
        <f t="shared" si="18"/>
        <v>0</v>
      </c>
      <c r="K20" s="12">
        <f t="shared" si="10"/>
        <v>0</v>
      </c>
      <c r="L20" s="14">
        <f t="shared" si="19"/>
        <v>12</v>
      </c>
      <c r="M20" s="14">
        <f t="shared" si="11"/>
        <v>6</v>
      </c>
      <c r="N20" s="14">
        <f t="shared" si="12"/>
        <v>18</v>
      </c>
      <c r="O20" s="11">
        <f t="shared" si="13"/>
        <v>0</v>
      </c>
      <c r="P20" s="10">
        <f t="shared" si="14"/>
        <v>6</v>
      </c>
    </row>
    <row r="21" ht="15.75" customHeight="1">
      <c r="D21" s="11">
        <v>6.0</v>
      </c>
      <c r="E21" s="11">
        <v>42.0</v>
      </c>
      <c r="F21" s="11">
        <f t="shared" si="15"/>
        <v>2</v>
      </c>
      <c r="G21" s="10">
        <f t="shared" si="16"/>
        <v>14</v>
      </c>
      <c r="H21" s="11">
        <v>38.0</v>
      </c>
      <c r="I21" s="15">
        <f t="shared" si="17"/>
        <v>14</v>
      </c>
      <c r="J21" s="12">
        <f t="shared" si="18"/>
        <v>3</v>
      </c>
      <c r="K21" s="15"/>
      <c r="L21" s="14">
        <f t="shared" si="19"/>
        <v>0</v>
      </c>
      <c r="M21" s="14">
        <f t="shared" si="11"/>
        <v>0</v>
      </c>
      <c r="N21" s="14">
        <f t="shared" si="12"/>
        <v>0</v>
      </c>
      <c r="O21" s="11">
        <f t="shared" si="13"/>
        <v>0</v>
      </c>
      <c r="P21" s="10">
        <f t="shared" si="14"/>
        <v>3</v>
      </c>
    </row>
    <row r="22" ht="15.75" customHeight="1">
      <c r="D22" s="16"/>
      <c r="E22" s="16"/>
      <c r="F22" s="16"/>
      <c r="G22" s="16"/>
      <c r="H22" s="16"/>
      <c r="I22" s="15" t="str">
        <f t="shared" si="17"/>
        <v/>
      </c>
      <c r="J22" s="16"/>
      <c r="K22" s="16"/>
      <c r="L22" s="16"/>
      <c r="M22" s="16"/>
      <c r="N22" s="16"/>
      <c r="O22" s="16"/>
      <c r="P22" s="1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2026-03-29T09:56:13Z</dcterms:created>
  <dc:creator>User 15</dc:creator>
</cp:coreProperties>
</file>